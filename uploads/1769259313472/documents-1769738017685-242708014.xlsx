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Vijay Kumar\Documents\pragati\"/>
    </mc:Choice>
  </mc:AlternateContent>
  <xr:revisionPtr revIDLastSave="0" documentId="13_ncr:1_{1A9979FE-6DD1-4B41-9EC4-51F4B7F9509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H22" i="1"/>
  <c r="N23" i="2" l="1"/>
  <c r="E23" i="2"/>
  <c r="H21" i="2"/>
  <c r="P21" i="2"/>
  <c r="M21" i="2"/>
  <c r="E21" i="2"/>
</calcChain>
</file>

<file path=xl/sharedStrings.xml><?xml version="1.0" encoding="utf-8"?>
<sst xmlns="http://schemas.openxmlformats.org/spreadsheetml/2006/main" count="149" uniqueCount="44">
  <si>
    <t xml:space="preserve">pragathi enterprize </t>
  </si>
  <si>
    <t xml:space="preserve">s.no </t>
  </si>
  <si>
    <t xml:space="preserve">bank name </t>
  </si>
  <si>
    <t xml:space="preserve">loan type </t>
  </si>
  <si>
    <t xml:space="preserve"> loan amount</t>
  </si>
  <si>
    <t>emi</t>
  </si>
  <si>
    <t xml:space="preserve">sanction date </t>
  </si>
  <si>
    <t>tenure</t>
  </si>
  <si>
    <t xml:space="preserve">bajaj fianance </t>
  </si>
  <si>
    <t>creditsaison</t>
  </si>
  <si>
    <t xml:space="preserve">godrej finance </t>
  </si>
  <si>
    <t xml:space="preserve">smfg fianance </t>
  </si>
  <si>
    <t xml:space="preserve">scb </t>
  </si>
  <si>
    <t xml:space="preserve">hdfc </t>
  </si>
  <si>
    <t xml:space="preserve">unsecure </t>
  </si>
  <si>
    <t xml:space="preserve">applicant </t>
  </si>
  <si>
    <t>cc</t>
  </si>
  <si>
    <t>roi</t>
  </si>
  <si>
    <t>adityabirla</t>
  </si>
  <si>
    <t xml:space="preserve">protium </t>
  </si>
  <si>
    <t>urgo</t>
  </si>
  <si>
    <t>fed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</si>
  <si>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</si>
  <si>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</si>
  <si>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</si>
  <si>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</si>
  <si>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</si>
  <si>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</si>
  <si>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</si>
  <si>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</si>
  <si>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</si>
  <si>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</si>
  <si>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</si>
  <si>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</si>
  <si>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24-25</t>
  </si>
  <si>
    <t>25-26</t>
  </si>
  <si>
    <t>37AAWFP4010D1ZA</t>
  </si>
  <si>
    <t>PRAGATI ENTERPRIZE</t>
  </si>
  <si>
    <t xml:space="preserve">AP </t>
  </si>
  <si>
    <t>TS</t>
  </si>
  <si>
    <t xml:space="preserve">TOTAL </t>
  </si>
  <si>
    <t xml:space="preserve">emi start date </t>
  </si>
  <si>
    <t xml:space="preserve">every month 5th 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</si>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</sst>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43" fontId="0" fillId="2" borderId="1" xfId="1" applyFont="1" applyFill="1" applyBorder="1"/>
    <xf numFmtId="0" fontId="0" fillId="2" borderId="0" xfId="0" applyFill="1"/>
    <xf numFmtId="43" fontId="0" fillId="2" borderId="0" xfId="1" applyFont="1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0:P28"/>
  <sheetViews>
    <sheetView tabSelected="1" topLeftCell="A4" workbookViewId="0">
      <selection activeCell="I26" sqref="I26"/>
    </sheetView>
  </sheetViews>
  <sheetFormatPr defaultRowHeight="14.25" x14ac:dyDescent="0.45"/>
  <cols>
    <col min="3" max="3" width="4.3984375" bestFit="1" customWidth="1"/>
    <col min="4" max="5" width="16.33203125" bestFit="1" customWidth="1"/>
    <col min="6" max="6" width="9.86328125" bestFit="1" customWidth="1"/>
    <col min="7" max="7" width="12.59765625" bestFit="1" customWidth="1"/>
    <col min="10" max="10" width="13.3984375" bestFit="1" customWidth="1"/>
    <col min="11" max="11" width="7" bestFit="1" customWidth="1"/>
    <col min="12" max="12" width="16.1328125" bestFit="1" customWidth="1"/>
    <col min="13" max="13" width="12.265625" bestFit="1" customWidth="1"/>
    <col min="14" max="14" width="11.3984375" bestFit="1" customWidth="1"/>
    <col min="15" max="15" width="16.33203125" bestFit="1" customWidth="1"/>
  </cols>
  <sheetData>
    <row r="10" spans="2:12" x14ac:dyDescent="0.45">
      <c r="E10" t="s">
        <v>0</v>
      </c>
    </row>
    <row r="11" spans="2:12" x14ac:dyDescent="0.45">
      <c r="B11" s="1"/>
      <c r="C11" s="1" t="s">
        <v>1</v>
      </c>
      <c r="D11" s="1" t="s">
        <v>15</v>
      </c>
      <c r="E11" s="1" t="s">
        <v>2</v>
      </c>
      <c r="F11" s="1" t="s">
        <v>3</v>
      </c>
      <c r="G11" s="1" t="s">
        <v>4</v>
      </c>
      <c r="H11" s="1" t="s">
        <v>5</v>
      </c>
      <c r="I11" s="1" t="s">
        <v>17</v>
      </c>
      <c r="J11" s="1" t="s">
        <v>6</v>
      </c>
      <c r="K11" s="1" t="s">
        <v>7</v>
      </c>
      <c r="L11" s="1" t="s">
        <v>41</v>
      </c>
    </row>
    <row r="12" spans="2:12" x14ac:dyDescent="0.45">
      <c r="B12" s="1"/>
      <c r="C12" s="1">
        <v>1</v>
      </c>
      <c r="D12" s="1" t="s">
        <v>0</v>
      </c>
      <c r="E12" s="1" t="s">
        <v>19</v>
      </c>
      <c r="F12" s="1" t="s">
        <v>14</v>
      </c>
      <c r="G12" s="1">
        <v>2000000</v>
      </c>
      <c r="H12" s="1">
        <v>72305</v>
      </c>
      <c r="I12" s="1">
        <v>18</v>
      </c>
      <c r="J12" s="2">
        <v>45808</v>
      </c>
      <c r="K12" s="1">
        <v>36</v>
      </c>
      <c r="L12" s="2">
        <v>45843</v>
      </c>
    </row>
    <row r="13" spans="2:12" x14ac:dyDescent="0.45">
      <c r="B13" s="1"/>
      <c r="C13" s="1">
        <v>2</v>
      </c>
      <c r="D13" s="1" t="s">
        <v>0</v>
      </c>
      <c r="E13" s="1" t="s">
        <v>20</v>
      </c>
      <c r="F13" s="1" t="s">
        <v>14</v>
      </c>
      <c r="G13" s="1">
        <v>2546000</v>
      </c>
      <c r="H13" s="1">
        <v>72300</v>
      </c>
      <c r="I13" s="1">
        <v>18.75</v>
      </c>
      <c r="J13" s="2">
        <v>45869</v>
      </c>
      <c r="K13" s="1">
        <v>36</v>
      </c>
      <c r="L13" s="2">
        <v>45905</v>
      </c>
    </row>
    <row r="14" spans="2:12" x14ac:dyDescent="0.45">
      <c r="B14" s="1"/>
      <c r="C14" s="1">
        <v>3</v>
      </c>
      <c r="D14" s="1" t="s">
        <v>0</v>
      </c>
      <c r="E14" s="1" t="s">
        <v>12</v>
      </c>
      <c r="F14" s="1" t="s">
        <v>14</v>
      </c>
      <c r="G14" s="1">
        <v>6500000</v>
      </c>
      <c r="H14" s="1">
        <v>185881</v>
      </c>
      <c r="I14" s="1">
        <v>16.5</v>
      </c>
      <c r="J14" s="2">
        <v>45688</v>
      </c>
      <c r="K14" s="1">
        <v>48</v>
      </c>
      <c r="L14" s="2">
        <v>45693</v>
      </c>
    </row>
    <row r="15" spans="2:12" x14ac:dyDescent="0.45">
      <c r="B15" s="1"/>
      <c r="C15" s="1">
        <v>4</v>
      </c>
      <c r="D15" s="1" t="s">
        <v>0</v>
      </c>
      <c r="E15" s="1" t="s">
        <v>8</v>
      </c>
      <c r="F15" s="1" t="s">
        <v>14</v>
      </c>
      <c r="G15" s="1">
        <v>3519967</v>
      </c>
      <c r="H15" s="1">
        <v>89377</v>
      </c>
      <c r="I15" s="1">
        <v>18</v>
      </c>
      <c r="J15" s="2">
        <v>45807</v>
      </c>
      <c r="K15" s="1">
        <v>60</v>
      </c>
      <c r="L15" s="2">
        <v>45843</v>
      </c>
    </row>
    <row r="16" spans="2:12" x14ac:dyDescent="0.45">
      <c r="B16" s="1"/>
      <c r="C16" s="1">
        <v>5</v>
      </c>
      <c r="D16" s="1" t="s">
        <v>0</v>
      </c>
      <c r="E16" s="1" t="s">
        <v>18</v>
      </c>
      <c r="F16" s="1" t="s">
        <v>14</v>
      </c>
      <c r="G16" s="1">
        <v>3000000</v>
      </c>
      <c r="H16" s="1">
        <v>108458</v>
      </c>
      <c r="I16" s="1">
        <v>18</v>
      </c>
      <c r="J16" s="2">
        <v>45808</v>
      </c>
      <c r="K16" s="1">
        <v>36</v>
      </c>
      <c r="L16" s="2">
        <v>45843</v>
      </c>
    </row>
    <row r="17" spans="2:16" x14ac:dyDescent="0.45">
      <c r="B17" s="1"/>
      <c r="C17" s="1">
        <v>6</v>
      </c>
      <c r="D17" s="1" t="s">
        <v>0</v>
      </c>
      <c r="E17" s="1" t="s">
        <v>10</v>
      </c>
      <c r="F17" s="1" t="s">
        <v>14</v>
      </c>
      <c r="G17" s="1">
        <v>2500000</v>
      </c>
      <c r="H17" s="1">
        <v>73438</v>
      </c>
      <c r="I17" s="1">
        <v>18</v>
      </c>
      <c r="J17" s="2">
        <v>45807</v>
      </c>
      <c r="K17" s="1">
        <v>48</v>
      </c>
      <c r="L17" s="2">
        <v>45841</v>
      </c>
    </row>
    <row r="18" spans="2:16" x14ac:dyDescent="0.45">
      <c r="B18" s="1"/>
      <c r="C18" s="1">
        <v>7</v>
      </c>
      <c r="D18" s="1" t="s">
        <v>0</v>
      </c>
      <c r="E18" s="1" t="s">
        <v>9</v>
      </c>
      <c r="F18" s="1" t="s">
        <v>14</v>
      </c>
      <c r="G18" s="1">
        <v>2000000</v>
      </c>
      <c r="H18" s="1">
        <v>72808</v>
      </c>
      <c r="I18" s="1">
        <v>18.5</v>
      </c>
      <c r="J18" s="2">
        <v>45808</v>
      </c>
      <c r="K18" s="1">
        <v>36</v>
      </c>
      <c r="L18" s="2">
        <v>45843</v>
      </c>
    </row>
    <row r="19" spans="2:16" x14ac:dyDescent="0.45">
      <c r="B19" s="1"/>
      <c r="C19" s="1">
        <v>8</v>
      </c>
      <c r="D19" s="1" t="s">
        <v>0</v>
      </c>
      <c r="E19" s="1" t="s">
        <v>11</v>
      </c>
      <c r="F19" s="1" t="s">
        <v>14</v>
      </c>
      <c r="G19" s="1">
        <v>3032005</v>
      </c>
      <c r="H19" s="1">
        <v>116610</v>
      </c>
      <c r="I19" s="1">
        <v>18.5</v>
      </c>
      <c r="J19" s="2">
        <v>45803</v>
      </c>
      <c r="K19" s="1">
        <v>37</v>
      </c>
      <c r="L19" s="2">
        <v>45841</v>
      </c>
    </row>
    <row r="20" spans="2:16" x14ac:dyDescent="0.45">
      <c r="B20" s="1"/>
      <c r="C20" s="1">
        <v>9</v>
      </c>
      <c r="D20" s="1" t="s">
        <v>0</v>
      </c>
      <c r="E20" s="1" t="s">
        <v>21</v>
      </c>
      <c r="F20" s="1" t="s">
        <v>14</v>
      </c>
      <c r="G20" s="1">
        <v>2025000</v>
      </c>
      <c r="H20" s="1">
        <v>73718</v>
      </c>
      <c r="I20" s="1">
        <v>18.5</v>
      </c>
      <c r="J20" s="2">
        <v>44797</v>
      </c>
      <c r="K20" s="1">
        <v>36</v>
      </c>
      <c r="L20" s="2" t="s">
        <v>42</v>
      </c>
    </row>
    <row r="21" spans="2:16" x14ac:dyDescent="0.45">
      <c r="B21" s="1"/>
      <c r="C21" s="1">
        <v>10</v>
      </c>
      <c r="D21" s="1" t="s">
        <v>0</v>
      </c>
      <c r="E21" s="1" t="s">
        <v>13</v>
      </c>
      <c r="F21" s="1" t="s">
        <v>16</v>
      </c>
      <c r="G21" s="1">
        <v>10000000</v>
      </c>
      <c r="H21" s="1"/>
      <c r="I21" s="1">
        <v>11.5</v>
      </c>
      <c r="J21" s="1"/>
      <c r="K21" s="1"/>
      <c r="L21" s="1"/>
    </row>
    <row r="22" spans="2:16" x14ac:dyDescent="0.45">
      <c r="B22" s="7" t="s">
        <v>43</v>
      </c>
      <c r="C22" s="8"/>
      <c r="D22" s="8"/>
      <c r="E22" s="8"/>
      <c r="F22" s="9"/>
      <c r="G22" s="1">
        <f>SUM(G12:G21)</f>
        <v>37122972</v>
      </c>
      <c r="H22" s="1">
        <f>SUM(H12:H21)</f>
        <v>864895</v>
      </c>
      <c r="I22" s="1"/>
      <c r="J22" s="1"/>
      <c r="K22" s="1"/>
      <c r="L22" s="1"/>
    </row>
    <row r="23" spans="2:16" x14ac:dyDescent="0.4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8" spans="2:16" x14ac:dyDescent="0.45">
      <c r="D28" s="1"/>
      <c r="E28" s="1"/>
      <c r="F28" s="1"/>
      <c r="G28" s="1"/>
      <c r="H28" s="1"/>
      <c r="I28" s="1"/>
      <c r="J28" s="1"/>
      <c r="K28" s="1"/>
      <c r="L28" s="1"/>
      <c r="M28" s="1"/>
      <c r="N28" s="14"/>
      <c r="O28" s="14"/>
      <c r="P28" s="14"/>
    </row>
  </sheetData>
  <mergeCells count="1">
    <mergeCell ref="B22:F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6:P23"/>
  <sheetViews>
    <sheetView topLeftCell="A4" zoomScaleNormal="100" workbookViewId="0">
      <selection activeCell="L6" sqref="L6:O6"/>
    </sheetView>
  </sheetViews>
  <sheetFormatPr defaultColWidth="9.1328125" defaultRowHeight="14.25" x14ac:dyDescent="0.45"/>
  <cols>
    <col min="1" max="3" width="9.1328125" style="5"/>
    <col min="4" max="4" width="11.1328125" style="5" bestFit="1" customWidth="1"/>
    <col min="5" max="5" width="12.59765625" style="6" bestFit="1" customWidth="1"/>
    <col min="6" max="6" width="9.1328125" style="5"/>
    <col min="7" max="7" width="11.1328125" style="5" bestFit="1" customWidth="1"/>
    <col min="8" max="8" width="15" style="6" customWidth="1"/>
    <col min="9" max="11" width="9.1328125" style="5"/>
    <col min="12" max="12" width="11.1328125" style="5" bestFit="1" customWidth="1"/>
    <col min="13" max="13" width="14.265625" style="6" bestFit="1" customWidth="1"/>
    <col min="14" max="14" width="13.1328125" style="5" bestFit="1" customWidth="1"/>
    <col min="15" max="15" width="11.1328125" style="5" bestFit="1" customWidth="1"/>
    <col min="16" max="16" width="14.265625" style="6" bestFit="1" customWidth="1"/>
    <col min="17" max="16384" width="9.1328125" style="5"/>
  </cols>
  <sheetData>
    <row r="6" spans="3:16" x14ac:dyDescent="0.45">
      <c r="C6" s="3"/>
      <c r="D6" s="10" t="s">
        <v>37</v>
      </c>
      <c r="E6" s="10"/>
      <c r="F6" s="10"/>
      <c r="G6" s="10"/>
      <c r="H6" s="4"/>
      <c r="K6" s="3"/>
      <c r="L6" s="10" t="s">
        <v>37</v>
      </c>
      <c r="M6" s="10"/>
      <c r="N6" s="10"/>
      <c r="O6" s="10"/>
      <c r="P6" s="4"/>
    </row>
    <row r="7" spans="3:16" x14ac:dyDescent="0.45">
      <c r="C7" s="3"/>
      <c r="D7" s="10" t="s">
        <v>36</v>
      </c>
      <c r="E7" s="10"/>
      <c r="F7" s="10"/>
      <c r="G7" s="10"/>
      <c r="H7" s="4"/>
      <c r="K7" s="3"/>
      <c r="L7" s="10" t="s">
        <v>36</v>
      </c>
      <c r="M7" s="10"/>
      <c r="N7" s="10"/>
      <c r="O7" s="10"/>
      <c r="P7" s="4"/>
    </row>
    <row r="8" spans="3:16" x14ac:dyDescent="0.45">
      <c r="C8" s="3"/>
      <c r="D8" s="10" t="s">
        <v>38</v>
      </c>
      <c r="E8" s="10"/>
      <c r="F8" s="10"/>
      <c r="G8" s="10"/>
      <c r="H8" s="4"/>
      <c r="K8" s="3"/>
      <c r="L8" s="11" t="s">
        <v>39</v>
      </c>
      <c r="M8" s="12"/>
      <c r="N8" s="12"/>
      <c r="O8" s="13"/>
      <c r="P8" s="4"/>
    </row>
    <row r="9" spans="3:16" x14ac:dyDescent="0.45">
      <c r="C9" s="3" t="s">
        <v>34</v>
      </c>
      <c r="D9" s="3" t="s">
        <v>22</v>
      </c>
      <c r="E9" s="4">
        <v>374408</v>
      </c>
      <c r="F9" s="3" t="s">
        <v>35</v>
      </c>
      <c r="G9" s="3" t="s">
        <v>22</v>
      </c>
      <c r="H9" s="4">
        <v>377830</v>
      </c>
      <c r="K9" s="3" t="s">
        <v>34</v>
      </c>
      <c r="L9" s="3" t="s">
        <v>22</v>
      </c>
      <c r="M9" s="4">
        <v>4396398.7</v>
      </c>
      <c r="N9" s="3" t="s">
        <v>35</v>
      </c>
      <c r="O9" s="3" t="s">
        <v>22</v>
      </c>
      <c r="P9" s="4">
        <v>5947810</v>
      </c>
    </row>
    <row r="10" spans="3:16" x14ac:dyDescent="0.45">
      <c r="C10" s="3" t="s">
        <v>34</v>
      </c>
      <c r="D10" s="3" t="s">
        <v>23</v>
      </c>
      <c r="E10" s="4">
        <v>295737</v>
      </c>
      <c r="F10" s="3" t="s">
        <v>35</v>
      </c>
      <c r="G10" s="3" t="s">
        <v>23</v>
      </c>
      <c r="H10" s="4">
        <v>443610</v>
      </c>
      <c r="K10" s="3" t="s">
        <v>34</v>
      </c>
      <c r="L10" s="3" t="s">
        <v>23</v>
      </c>
      <c r="M10" s="4">
        <v>3499213.5</v>
      </c>
      <c r="N10" s="3" t="s">
        <v>35</v>
      </c>
      <c r="O10" s="3" t="s">
        <v>23</v>
      </c>
      <c r="P10" s="4">
        <v>6080477.6399999997</v>
      </c>
    </row>
    <row r="11" spans="3:16" x14ac:dyDescent="0.45">
      <c r="C11" s="3" t="s">
        <v>34</v>
      </c>
      <c r="D11" s="3" t="s">
        <v>24</v>
      </c>
      <c r="E11" s="4">
        <v>663930.81000000006</v>
      </c>
      <c r="F11" s="3" t="s">
        <v>35</v>
      </c>
      <c r="G11" s="3" t="s">
        <v>24</v>
      </c>
      <c r="H11" s="4">
        <v>811709</v>
      </c>
      <c r="K11" s="3" t="s">
        <v>34</v>
      </c>
      <c r="L11" s="3" t="s">
        <v>24</v>
      </c>
      <c r="M11" s="4">
        <v>5871933.5899999999</v>
      </c>
      <c r="N11" s="3" t="s">
        <v>35</v>
      </c>
      <c r="O11" s="3" t="s">
        <v>24</v>
      </c>
      <c r="P11" s="4">
        <v>5277354.5599999996</v>
      </c>
    </row>
    <row r="12" spans="3:16" x14ac:dyDescent="0.45">
      <c r="C12" s="3" t="s">
        <v>34</v>
      </c>
      <c r="D12" s="3" t="s">
        <v>25</v>
      </c>
      <c r="E12" s="4">
        <v>365383.54</v>
      </c>
      <c r="F12" s="3" t="s">
        <v>35</v>
      </c>
      <c r="G12" s="3" t="s">
        <v>25</v>
      </c>
      <c r="H12" s="4">
        <v>535090</v>
      </c>
      <c r="K12" s="3" t="s">
        <v>34</v>
      </c>
      <c r="L12" s="3" t="s">
        <v>25</v>
      </c>
      <c r="M12" s="4">
        <v>4474225.5</v>
      </c>
      <c r="N12" s="3" t="s">
        <v>35</v>
      </c>
      <c r="O12" s="3" t="s">
        <v>25</v>
      </c>
      <c r="P12" s="4">
        <v>4543880.5999999996</v>
      </c>
    </row>
    <row r="13" spans="3:16" x14ac:dyDescent="0.45">
      <c r="C13" s="3" t="s">
        <v>34</v>
      </c>
      <c r="D13" s="3" t="s">
        <v>26</v>
      </c>
      <c r="E13" s="4">
        <v>358904.44</v>
      </c>
      <c r="F13" s="3" t="s">
        <v>35</v>
      </c>
      <c r="G13" s="3" t="s">
        <v>26</v>
      </c>
      <c r="H13" s="4">
        <v>266746</v>
      </c>
      <c r="K13" s="3" t="s">
        <v>34</v>
      </c>
      <c r="L13" s="3" t="s">
        <v>26</v>
      </c>
      <c r="M13" s="4">
        <v>3412733.5</v>
      </c>
      <c r="N13" s="3" t="s">
        <v>35</v>
      </c>
      <c r="O13" s="3" t="s">
        <v>26</v>
      </c>
      <c r="P13" s="4">
        <v>3426347.5</v>
      </c>
    </row>
    <row r="14" spans="3:16" x14ac:dyDescent="0.45">
      <c r="C14" s="3" t="s">
        <v>34</v>
      </c>
      <c r="D14" s="3" t="s">
        <v>27</v>
      </c>
      <c r="E14" s="4">
        <v>986836.28</v>
      </c>
      <c r="F14" s="3" t="s">
        <v>35</v>
      </c>
      <c r="G14" s="3" t="s">
        <v>27</v>
      </c>
      <c r="H14" s="4">
        <v>535090</v>
      </c>
      <c r="K14" s="3" t="s">
        <v>34</v>
      </c>
      <c r="L14" s="3" t="s">
        <v>27</v>
      </c>
      <c r="M14" s="4">
        <v>3698515</v>
      </c>
      <c r="N14" s="3" t="s">
        <v>35</v>
      </c>
      <c r="O14" s="3" t="s">
        <v>27</v>
      </c>
      <c r="P14" s="4">
        <v>5204636.5999999996</v>
      </c>
    </row>
    <row r="15" spans="3:16" x14ac:dyDescent="0.45">
      <c r="C15" s="3" t="s">
        <v>34</v>
      </c>
      <c r="D15" s="3" t="s">
        <v>28</v>
      </c>
      <c r="E15" s="4">
        <v>596960</v>
      </c>
      <c r="F15" s="3" t="s">
        <v>35</v>
      </c>
      <c r="G15" s="3" t="s">
        <v>28</v>
      </c>
      <c r="H15" s="4"/>
      <c r="K15" s="3" t="s">
        <v>34</v>
      </c>
      <c r="L15" s="3" t="s">
        <v>28</v>
      </c>
      <c r="M15" s="4">
        <v>4956689.0999999996</v>
      </c>
      <c r="N15" s="3" t="s">
        <v>35</v>
      </c>
      <c r="O15" s="3" t="s">
        <v>28</v>
      </c>
      <c r="P15" s="4"/>
    </row>
    <row r="16" spans="3:16" x14ac:dyDescent="0.45">
      <c r="C16" s="3" t="s">
        <v>34</v>
      </c>
      <c r="D16" s="3" t="s">
        <v>29</v>
      </c>
      <c r="E16" s="4">
        <v>800833.15</v>
      </c>
      <c r="F16" s="3" t="s">
        <v>35</v>
      </c>
      <c r="G16" s="3" t="s">
        <v>29</v>
      </c>
      <c r="H16" s="4"/>
      <c r="K16" s="3" t="s">
        <v>34</v>
      </c>
      <c r="L16" s="3" t="s">
        <v>29</v>
      </c>
      <c r="M16" s="4">
        <v>4514663.5</v>
      </c>
      <c r="N16" s="3" t="s">
        <v>35</v>
      </c>
      <c r="O16" s="3" t="s">
        <v>29</v>
      </c>
      <c r="P16" s="4"/>
    </row>
    <row r="17" spans="3:16" x14ac:dyDescent="0.45">
      <c r="C17" s="3" t="s">
        <v>34</v>
      </c>
      <c r="D17" s="3" t="s">
        <v>30</v>
      </c>
      <c r="E17" s="4">
        <v>234790</v>
      </c>
      <c r="F17" s="3" t="s">
        <v>35</v>
      </c>
      <c r="G17" s="3" t="s">
        <v>30</v>
      </c>
      <c r="H17" s="4"/>
      <c r="K17" s="3" t="s">
        <v>34</v>
      </c>
      <c r="L17" s="3" t="s">
        <v>30</v>
      </c>
      <c r="M17" s="4">
        <v>5967776.7599999998</v>
      </c>
      <c r="N17" s="3" t="s">
        <v>35</v>
      </c>
      <c r="O17" s="3" t="s">
        <v>30</v>
      </c>
      <c r="P17" s="4"/>
    </row>
    <row r="18" spans="3:16" x14ac:dyDescent="0.45">
      <c r="C18" s="3" t="s">
        <v>34</v>
      </c>
      <c r="D18" s="3" t="s">
        <v>31</v>
      </c>
      <c r="E18" s="4">
        <v>208737.05</v>
      </c>
      <c r="F18" s="3" t="s">
        <v>35</v>
      </c>
      <c r="G18" s="3" t="s">
        <v>31</v>
      </c>
      <c r="H18" s="4"/>
      <c r="K18" s="3" t="s">
        <v>34</v>
      </c>
      <c r="L18" s="3" t="s">
        <v>31</v>
      </c>
      <c r="M18" s="4">
        <v>3927817</v>
      </c>
      <c r="N18" s="3" t="s">
        <v>35</v>
      </c>
      <c r="O18" s="3" t="s">
        <v>31</v>
      </c>
      <c r="P18" s="4"/>
    </row>
    <row r="19" spans="3:16" x14ac:dyDescent="0.45">
      <c r="C19" s="3" t="s">
        <v>34</v>
      </c>
      <c r="D19" s="3" t="s">
        <v>32</v>
      </c>
      <c r="E19" s="4">
        <v>650140</v>
      </c>
      <c r="F19" s="3" t="s">
        <v>35</v>
      </c>
      <c r="G19" s="3" t="s">
        <v>32</v>
      </c>
      <c r="H19" s="4"/>
      <c r="K19" s="3" t="s">
        <v>34</v>
      </c>
      <c r="L19" s="3" t="s">
        <v>32</v>
      </c>
      <c r="M19" s="4">
        <v>3916761.7</v>
      </c>
      <c r="N19" s="3" t="s">
        <v>35</v>
      </c>
      <c r="O19" s="3" t="s">
        <v>32</v>
      </c>
      <c r="P19" s="4"/>
    </row>
    <row r="20" spans="3:16" x14ac:dyDescent="0.45">
      <c r="C20" s="3" t="s">
        <v>34</v>
      </c>
      <c r="D20" s="3" t="s">
        <v>33</v>
      </c>
      <c r="E20" s="4">
        <v>346186.05</v>
      </c>
      <c r="F20" s="3" t="s">
        <v>35</v>
      </c>
      <c r="G20" s="3" t="s">
        <v>33</v>
      </c>
      <c r="H20" s="4"/>
      <c r="K20" s="3" t="s">
        <v>34</v>
      </c>
      <c r="L20" s="3" t="s">
        <v>33</v>
      </c>
      <c r="M20" s="4">
        <v>5755311.2999999998</v>
      </c>
      <c r="N20" s="3" t="s">
        <v>35</v>
      </c>
      <c r="O20" s="3" t="s">
        <v>33</v>
      </c>
      <c r="P20" s="4"/>
    </row>
    <row r="21" spans="3:16" x14ac:dyDescent="0.45">
      <c r="C21" s="11" t="s">
        <v>40</v>
      </c>
      <c r="D21" s="13"/>
      <c r="E21" s="4">
        <f>SUM(E9:E20)</f>
        <v>5882846.3200000003</v>
      </c>
      <c r="F21" s="11" t="s">
        <v>40</v>
      </c>
      <c r="G21" s="13"/>
      <c r="H21" s="4">
        <f>SUM(H9:H20)</f>
        <v>2970075</v>
      </c>
      <c r="K21" s="11" t="s">
        <v>40</v>
      </c>
      <c r="L21" s="13"/>
      <c r="M21" s="4">
        <f>SUM(M9:M20)</f>
        <v>54392039.149999999</v>
      </c>
      <c r="N21" s="11" t="s">
        <v>40</v>
      </c>
      <c r="O21" s="13"/>
      <c r="P21" s="4">
        <f>SUM(P9:P20)</f>
        <v>30480506.899999999</v>
      </c>
    </row>
    <row r="23" spans="3:16" x14ac:dyDescent="0.45">
      <c r="E23" s="6">
        <f>+E21+H21</f>
        <v>8852921.3200000003</v>
      </c>
      <c r="N23" s="5">
        <f>+M21+P21</f>
        <v>84872546.049999997</v>
      </c>
    </row>
  </sheetData>
  <mergeCells count="10">
    <mergeCell ref="C21:D21"/>
    <mergeCell ref="K21:L21"/>
    <mergeCell ref="F21:G21"/>
    <mergeCell ref="N21:O21"/>
    <mergeCell ref="D8:G8"/>
    <mergeCell ref="D7:G7"/>
    <mergeCell ref="D6:G6"/>
    <mergeCell ref="L6:O6"/>
    <mergeCell ref="L7:O7"/>
    <mergeCell ref="L8:O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Vijay Togaru</cp:lastModifiedBy>
  <dcterms:created xsi:type="dcterms:W3CDTF">2025-10-27T11:54:16Z</dcterms:created>
  <dcterms:modified xsi:type="dcterms:W3CDTF">2026-01-30T01:28:24Z</dcterms:modified>
</cp:coreProperties>
</file>